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tics Projects\SQL PROJECTS\Project 1\"/>
    </mc:Choice>
  </mc:AlternateContent>
  <xr:revisionPtr revIDLastSave="0" documentId="13_ncr:1_{C40680E3-E77D-453B-A0A0-E38AAC6044C5}" xr6:coauthVersionLast="47" xr6:coauthVersionMax="47" xr10:uidLastSave="{00000000-0000-0000-0000-000000000000}"/>
  <bookViews>
    <workbookView xWindow="-110" yWindow="-110" windowWidth="19420" windowHeight="10420" xr2:uid="{1F3C76BD-EAEF-47F3-B1F2-7DDF3E383653}"/>
  </bookViews>
  <sheets>
    <sheet name="Dashboard" sheetId="8" r:id="rId1"/>
    <sheet name="Top 10 unequal" sheetId="9" r:id="rId2"/>
    <sheet name="Top 10 equal" sheetId="10" r:id="rId3"/>
    <sheet name="Continent Averages " sheetId="11" r:id="rId4"/>
    <sheet name="Global Trend" sheetId="12" r:id="rId5"/>
    <sheet name="Africa Analysis " sheetId="13" r:id="rId6"/>
    <sheet name="Biggest Improvements" sheetId="14" r:id="rId7"/>
    <sheet name="Global Summary " sheetId="15" r:id="rId8"/>
  </sheets>
  <definedNames>
    <definedName name="ExternalData_1" localSheetId="5" hidden="1">'Africa Analysis '!$A$1:$D$16</definedName>
    <definedName name="ExternalData_1" localSheetId="6" hidden="1">'Biggest Improvements'!$A$1:$F$11</definedName>
    <definedName name="ExternalData_1" localSheetId="3" hidden="1">'Continent Averages '!$A$1:$C$6</definedName>
    <definedName name="ExternalData_1" localSheetId="7" hidden="1">'Global Summary '!$A$1:$G$2</definedName>
    <definedName name="ExternalData_1" localSheetId="4" hidden="1">'Global Trend'!$A$1:$E$2</definedName>
    <definedName name="ExternalData_1" localSheetId="2" hidden="1">'Top 10 equal'!$A$1:$D$11</definedName>
    <definedName name="ExternalData_1" localSheetId="1" hidden="1">'Top 10 unequal'!$A$1:$D$11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DF7521-E17C-44E0-9929-97D22E29E303}" keepAlive="1" name="Query - africa_analysis" description="Connection to the 'africa_analysis' query in the workbook." type="5" refreshedVersion="8" background="1" saveData="1">
    <dbPr connection="Provider=Microsoft.Mashup.OleDb.1;Data Source=$Workbook$;Location=africa_analysis;Extended Properties=&quot;&quot;" command="SELECT * FROM [africa_analysis]"/>
  </connection>
  <connection id="2" xr16:uid="{CAC6D29C-F6FE-48C6-9BAF-59A58614CF69}" keepAlive="1" name="Query - biggest_improvements" description="Connection to the 'biggest_improvements' query in the workbook." type="5" refreshedVersion="8" background="1" saveData="1">
    <dbPr connection="Provider=Microsoft.Mashup.OleDb.1;Data Source=$Workbook$;Location=biggest_improvements;Extended Properties=&quot;&quot;" command="SELECT * FROM [biggest_improvements]"/>
  </connection>
  <connection id="3" xr16:uid="{EB027B0C-F0E1-404E-BF27-555150CE29EB}" keepAlive="1" name="Query - continent_averages" description="Connection to the 'continent_averages' query in the workbook." type="5" refreshedVersion="8" background="1" saveData="1">
    <dbPr connection="Provider=Microsoft.Mashup.OleDb.1;Data Source=$Workbook$;Location=continent_averages;Extended Properties=&quot;&quot;" command="SELECT * FROM [continent_averages]"/>
  </connection>
  <connection id="4" xr16:uid="{C4B913A9-686B-403A-8D3D-C2A5BBDE0320}" keepAlive="1" name="Query - global_summary" description="Connection to the 'global_summary' query in the workbook." type="5" refreshedVersion="8" background="1" saveData="1">
    <dbPr connection="Provider=Microsoft.Mashup.OleDb.1;Data Source=$Workbook$;Location=global_summary;Extended Properties=&quot;&quot;" command="SELECT * FROM [global_summary]"/>
  </connection>
  <connection id="5" xr16:uid="{68C49E97-A8C3-47B0-91F8-91DC69CB29AB}" keepAlive="1" name="Query - global_trend" description="Connection to the 'global_trend' query in the workbook." type="5" refreshedVersion="8" background="1" saveData="1">
    <dbPr connection="Provider=Microsoft.Mashup.OleDb.1;Data Source=$Workbook$;Location=global_trend;Extended Properties=&quot;&quot;" command="SELECT * FROM [global_trend]"/>
  </connection>
  <connection id="6" xr16:uid="{A5B53EDB-8599-488A-B0CC-9BCD8DB081E9}" keepAlive="1" name="Query - top10_most_equal" description="Connection to the 'top10_most_equal' query in the workbook." type="5" refreshedVersion="8" background="1" saveData="1">
    <dbPr connection="Provider=Microsoft.Mashup.OleDb.1;Data Source=$Workbook$;Location=top10_most_equal;Extended Properties=&quot;&quot;" command="SELECT * FROM [top10_most_equal]"/>
  </connection>
  <connection id="7" xr16:uid="{EBA79506-31CD-471C-B287-AA3B5A8D4996}" keepAlive="1" name="Query - top10_most_unequal" description="Connection to the 'top10_most_unequal' query in the workbook." type="5" refreshedVersion="8" background="1" saveData="1">
    <dbPr connection="Provider=Microsoft.Mashup.OleDb.1;Data Source=$Workbook$;Location=top10_most_unequal;Extended Properties=&quot;&quot;" command="SELECT * FROM [top10_most_unequal]"/>
  </connection>
</connections>
</file>

<file path=xl/sharedStrings.xml><?xml version="1.0" encoding="utf-8"?>
<sst xmlns="http://schemas.openxmlformats.org/spreadsheetml/2006/main" count="181" uniqueCount="91">
  <si>
    <t>country</t>
  </si>
  <si>
    <t>continent</t>
  </si>
  <si>
    <t>human_dev_groups</t>
  </si>
  <si>
    <t>gii_2021</t>
  </si>
  <si>
    <t>Papua New Guinea</t>
  </si>
  <si>
    <t>Oceania</t>
  </si>
  <si>
    <t>Medium</t>
  </si>
  <si>
    <t>Central African Republic</t>
  </si>
  <si>
    <t>Africa</t>
  </si>
  <si>
    <t>Low</t>
  </si>
  <si>
    <t>Mauritania</t>
  </si>
  <si>
    <t>Tonga</t>
  </si>
  <si>
    <t>High</t>
  </si>
  <si>
    <t>Guinea</t>
  </si>
  <si>
    <t>Ivory Coast</t>
  </si>
  <si>
    <t>Mali</t>
  </si>
  <si>
    <t>Niger</t>
  </si>
  <si>
    <t>Gambia</t>
  </si>
  <si>
    <t>Benin</t>
  </si>
  <si>
    <t>Denmark</t>
  </si>
  <si>
    <t>Europe</t>
  </si>
  <si>
    <t>Very High</t>
  </si>
  <si>
    <t>Norway</t>
  </si>
  <si>
    <t>Switzerland</t>
  </si>
  <si>
    <t>Sweden</t>
  </si>
  <si>
    <t>Netherlands</t>
  </si>
  <si>
    <t>Finland</t>
  </si>
  <si>
    <t>Singapore</t>
  </si>
  <si>
    <t>Asia</t>
  </si>
  <si>
    <t>Iceland</t>
  </si>
  <si>
    <t>Luxembourg</t>
  </si>
  <si>
    <t>Belgium</t>
  </si>
  <si>
    <t>avg_inequality</t>
  </si>
  <si>
    <t>country_count</t>
  </si>
  <si>
    <t>America</t>
  </si>
  <si>
    <t>region</t>
  </si>
  <si>
    <t>avg_1990</t>
  </si>
  <si>
    <t>avg_2000</t>
  </si>
  <si>
    <t>avg_2010</t>
  </si>
  <si>
    <t>avg_2021</t>
  </si>
  <si>
    <t>Global Average</t>
  </si>
  <si>
    <t>inequality_level</t>
  </si>
  <si>
    <t>Tunisia</t>
  </si>
  <si>
    <t>Low Inequality</t>
  </si>
  <si>
    <t>Mauritius</t>
  </si>
  <si>
    <t>Medium Inequality</t>
  </si>
  <si>
    <t>Rwanda</t>
  </si>
  <si>
    <t>South Africa</t>
  </si>
  <si>
    <t>Morocco</t>
  </si>
  <si>
    <t>Egypt</t>
  </si>
  <si>
    <t>Namibia</t>
  </si>
  <si>
    <t>Botswana</t>
  </si>
  <si>
    <t>Sao Tome and Principe</t>
  </si>
  <si>
    <t>Algeria</t>
  </si>
  <si>
    <t>Kenya</t>
  </si>
  <si>
    <t>High Inequality</t>
  </si>
  <si>
    <t>Ghana</t>
  </si>
  <si>
    <t>Senegal</t>
  </si>
  <si>
    <t>Uganda</t>
  </si>
  <si>
    <t>Zimbabwe</t>
  </si>
  <si>
    <t>gii_1990</t>
  </si>
  <si>
    <t>improvement</t>
  </si>
  <si>
    <t>improvement_percent</t>
  </si>
  <si>
    <t>United Arab Emirates</t>
  </si>
  <si>
    <t>Maldives</t>
  </si>
  <si>
    <t>Turkey</t>
  </si>
  <si>
    <t>Chile</t>
  </si>
  <si>
    <t>North Macedonia</t>
  </si>
  <si>
    <t>Estonia</t>
  </si>
  <si>
    <t>Kuwait</t>
  </si>
  <si>
    <t>Pakistan</t>
  </si>
  <si>
    <t>total_countries</t>
  </si>
  <si>
    <t>global_avg_2021</t>
  </si>
  <si>
    <t>best_gii</t>
  </si>
  <si>
    <t>worst_gii</t>
  </si>
  <si>
    <t>low_inequality_countries</t>
  </si>
  <si>
    <t>medium_inequality_countries</t>
  </si>
  <si>
    <t>high_inequality_countries</t>
  </si>
  <si>
    <t>G</t>
  </si>
  <si>
    <t>H</t>
  </si>
  <si>
    <t>GII</t>
  </si>
  <si>
    <t>YEAR</t>
  </si>
  <si>
    <t>Category</t>
  </si>
  <si>
    <t>Count</t>
  </si>
  <si>
    <t>GENDER INEQUALITY INDEX - GLOBAL ANALYSIS (1990-2021)</t>
  </si>
  <si>
    <t>Total Countries Analyzed</t>
  </si>
  <si>
    <t>Most Unequal Country</t>
  </si>
  <si>
    <t>Global Average GII (2021)</t>
  </si>
  <si>
    <t>Continent Averages</t>
  </si>
  <si>
    <t>Europe (0.103)</t>
  </si>
  <si>
    <t>Analysis by: Buhle Damane | Data Source: Kaggle (Gender Inequality Index) | Tools: MySQL +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</si>
</sst>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8"/>
      <color theme="0"/>
      <name val="Arial Black"/>
      <family val="2"/>
    </font>
    <font>
      <i/>
      <sz val="10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2" borderId="2" xfId="0" applyFont="1" applyFill="1" applyBorder="1"/>
    <xf numFmtId="0" fontId="0" fillId="2" borderId="1" xfId="0" applyFont="1" applyFill="1" applyBorder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Distribution of Countries by Gender Inequality Level (2021)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'Global Summary '!$K$1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D5-4843-BC32-02D7B36767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D5-4843-BC32-02D7B36767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D5-4843-BC32-02D7B36767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'Global Summary '!$J$2:$J$4</c:f>
              <c:strCache>
                <c:ptCount val="3"/>
                <c:pt idx="0">
                  <c:v>Low Inequality</c:v>
                </c:pt>
                <c:pt idx="1">
                  <c:v>Medium Inequality</c:v>
                </c:pt>
                <c:pt idx="2">
                  <c:v>High Inequality</c:v>
                </c:pt>
              </c:strCache>
            </c:strRef>
          </c:cat>
          <c:val>
            <c:numRef>
              <c:f>'Global Summary '!$K$2:$K$4</c:f>
              <c:numCache>
                <c:formatCode>General</c:formatCode>
                <c:ptCount val="3"/>
                <c:pt idx="0">
                  <c:v>57</c:v>
                </c:pt>
                <c:pt idx="1">
                  <c:v>42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D5-4843-BC32-02D7B36767D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Countries with Highest Gender Inequality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unequal'!$D$1</c:f>
              <c:strCache>
                <c:ptCount val="1"/>
                <c:pt idx="0">
                  <c:v>gii_2021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'Top 10 unequal'!$A$2:$A$11</c:f>
              <c:strCache>
                <c:ptCount val="10"/>
                <c:pt idx="0">
                  <c:v>Papua New Guinea</c:v>
                </c:pt>
                <c:pt idx="1">
                  <c:v>Central African Republic</c:v>
                </c:pt>
                <c:pt idx="2">
                  <c:v>Mauritania</c:v>
                </c:pt>
                <c:pt idx="3">
                  <c:v>Tonga</c:v>
                </c:pt>
                <c:pt idx="4">
                  <c:v>Guinea</c:v>
                </c:pt>
                <c:pt idx="5">
                  <c:v>Ivory Coast</c:v>
                </c:pt>
                <c:pt idx="6">
                  <c:v>Mali</c:v>
                </c:pt>
                <c:pt idx="7">
                  <c:v>Niger</c:v>
                </c:pt>
                <c:pt idx="8">
                  <c:v>Gambia</c:v>
                </c:pt>
                <c:pt idx="9">
                  <c:v>Benin</c:v>
                </c:pt>
              </c:strCache>
            </c:strRef>
          </c:cat>
          <c:val>
            <c:numRef>
              <c:f>'Top 10 unequal'!$D$2:$D$11</c:f>
              <c:numCache>
                <c:formatCode>General</c:formatCode>
                <c:ptCount val="10"/>
                <c:pt idx="0">
                  <c:v>0.72499999999999998</c:v>
                </c:pt>
                <c:pt idx="1">
                  <c:v>0.67200000000000004</c:v>
                </c:pt>
                <c:pt idx="2">
                  <c:v>0.63200000000000001</c:v>
                </c:pt>
                <c:pt idx="3">
                  <c:v>0.63100000000000001</c:v>
                </c:pt>
                <c:pt idx="4">
                  <c:v>0.621</c:v>
                </c:pt>
                <c:pt idx="5">
                  <c:v>0.61299999999999999</c:v>
                </c:pt>
                <c:pt idx="6">
                  <c:v>0.61299999999999999</c:v>
                </c:pt>
                <c:pt idx="7">
                  <c:v>0.61099999999999999</c:v>
                </c:pt>
                <c:pt idx="8">
                  <c:v>0.61099999999999999</c:v>
                </c:pt>
                <c:pt idx="9">
                  <c:v>0.60199999999999998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1-412E-9CE1-0E20CC335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7024512"/>
        <c:axId val="1467022112"/>
      </c:barChart>
      <c:catAx>
        <c:axId val="1467024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22112"/>
        <c:crosses val="autoZero"/>
        <c:auto val="1"/>
        <c:lblAlgn val="ctr"/>
        <c:lblOffset val="100"/>
        <c:noMultiLvlLbl val="0"/>
      </c:catAx>
      <c:valAx>
        <c:axId val="146702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Gender Inequality Index (GII) Value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5480511811023624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2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Global Gender Inequality Trend (1990-2021)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'Global Trend'!$I$1:$I$2</c:f>
              <c:strCache>
                <c:ptCount val="2"/>
                <c:pt idx="0">
                  <c:v>H</c:v>
                </c:pt>
                <c:pt idx="1">
                  <c:v>GII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'Global Trend'!$I$3:$I$6</c:f>
              <c:numCache>
                <c:formatCode>General</c:formatCode>
                <c:ptCount val="4"/>
                <c:pt idx="0">
                  <c:v>0.48799999999999999</c:v>
                </c:pt>
                <c:pt idx="1">
                  <c:v>0.438</c:v>
                </c:pt>
                <c:pt idx="2">
                  <c:v>0.374</c:v>
                </c:pt>
                <c:pt idx="3">
                  <c:v>0.32200000000000001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A-44EA-9561-4A2F50D34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6902080"/>
        <c:axId val="14569035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'Global Trend'!$H$1:$H$2</c15:sqref>
                        </c15:formulaRef>
                      </c:ext>
                    </c:extLst>
                    <c:strCache>
                      <c:ptCount val="2"/>
                      <c:pt idx="0">
                        <c:v>G</c:v>
                      </c:pt>
                      <c:pt idx="1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'Global Trend'!$H$3:$H$6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1990</c:v>
                      </c:pt>
                      <c:pt idx="1">
                        <c:v>2000</c:v>
                      </c:pt>
                      <c:pt idx="2">
                        <c:v>2010</c:v>
                      </c:pt>
                      <c:pt idx="3">
                        <c:v>2021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77A-44EA-9561-4A2F50D34BC9}"/>
                  </c:ext>
                </c:extLst>
              </c15:ser>
            </c15:filteredLineSeries>
          </c:ext>
        </c:extLst>
      </c:lineChart>
      <c:catAx>
        <c:axId val="1456902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03520"/>
        <c:crosses val="autoZero"/>
        <c:auto val="1"/>
        <c:lblAlgn val="ctr"/>
        <c:lblOffset val="100"/>
        <c:noMultiLvlLbl val="0"/>
      </c:catAx>
      <c:valAx>
        <c:axId val="145690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</a:t>
                </a:r>
                <a:r>
                  <a:rPr lang="en-US" sz="1000" b="0" i="0" u="none" strike="noStrike" baseline="0"/>
                  <a:t>Average GII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0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Countries with Highest Gender Inequality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unequal'!$D$1</c:f>
              <c:strCache>
                <c:ptCount val="1"/>
                <c:pt idx="0">
                  <c:v>gii_2021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'Top 10 unequal'!$A$2:$A$11</c:f>
              <c:strCache>
                <c:ptCount val="10"/>
                <c:pt idx="0">
                  <c:v>Papua New Guinea</c:v>
                </c:pt>
                <c:pt idx="1">
                  <c:v>Central African Republic</c:v>
                </c:pt>
                <c:pt idx="2">
                  <c:v>Mauritania</c:v>
                </c:pt>
                <c:pt idx="3">
                  <c:v>Tonga</c:v>
                </c:pt>
                <c:pt idx="4">
                  <c:v>Guinea</c:v>
                </c:pt>
                <c:pt idx="5">
                  <c:v>Ivory Coast</c:v>
                </c:pt>
                <c:pt idx="6">
                  <c:v>Mali</c:v>
                </c:pt>
                <c:pt idx="7">
                  <c:v>Niger</c:v>
                </c:pt>
                <c:pt idx="8">
                  <c:v>Gambia</c:v>
                </c:pt>
                <c:pt idx="9">
                  <c:v>Benin</c:v>
                </c:pt>
              </c:strCache>
            </c:strRef>
          </c:cat>
          <c:val>
            <c:numRef>
              <c:f>'Top 10 unequal'!$D$2:$D$11</c:f>
              <c:numCache>
                <c:formatCode>General</c:formatCode>
                <c:ptCount val="10"/>
                <c:pt idx="0">
                  <c:v>0.72499999999999998</c:v>
                </c:pt>
                <c:pt idx="1">
                  <c:v>0.67200000000000004</c:v>
                </c:pt>
                <c:pt idx="2">
                  <c:v>0.63200000000000001</c:v>
                </c:pt>
                <c:pt idx="3">
                  <c:v>0.63100000000000001</c:v>
                </c:pt>
                <c:pt idx="4">
                  <c:v>0.621</c:v>
                </c:pt>
                <c:pt idx="5">
                  <c:v>0.61299999999999999</c:v>
                </c:pt>
                <c:pt idx="6">
                  <c:v>0.61299999999999999</c:v>
                </c:pt>
                <c:pt idx="7">
                  <c:v>0.61099999999999999</c:v>
                </c:pt>
                <c:pt idx="8">
                  <c:v>0.61099999999999999</c:v>
                </c:pt>
                <c:pt idx="9">
                  <c:v>0.60199999999999998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B-46FD-A8B5-047FDCD41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7024512"/>
        <c:axId val="1467022112"/>
      </c:barChart>
      <c:catAx>
        <c:axId val="1467024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22112"/>
        <c:crosses val="autoZero"/>
        <c:auto val="1"/>
        <c:lblAlgn val="ctr"/>
        <c:lblOffset val="100"/>
        <c:noMultiLvlLbl val="0"/>
      </c:catAx>
      <c:valAx>
        <c:axId val="146702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Gender Inequality Index (GII) Value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5480511811023624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2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Countries with Lowest Gender Inequality (Most Equal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equal'!$D$1</c:f>
              <c:strCache>
                <c:ptCount val="1"/>
                <c:pt idx="0">
                  <c:v>gii_2021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'Top 10 equal'!$A$2:$A$11</c:f>
              <c:strCache>
                <c:ptCount val="10"/>
                <c:pt idx="0">
                  <c:v>Denmark</c:v>
                </c:pt>
                <c:pt idx="1">
                  <c:v>Norway</c:v>
                </c:pt>
                <c:pt idx="2">
                  <c:v>Switzerland</c:v>
                </c:pt>
                <c:pt idx="3">
                  <c:v>Sweden</c:v>
                </c:pt>
                <c:pt idx="4">
                  <c:v>Netherlands</c:v>
                </c:pt>
                <c:pt idx="5">
                  <c:v>Finland</c:v>
                </c:pt>
                <c:pt idx="6">
                  <c:v>Singapore</c:v>
                </c:pt>
                <c:pt idx="7">
                  <c:v>Iceland</c:v>
                </c:pt>
                <c:pt idx="8">
                  <c:v>Luxembourg</c:v>
                </c:pt>
                <c:pt idx="9">
                  <c:v>Belgium</c:v>
                </c:pt>
              </c:strCache>
            </c:strRef>
          </c:cat>
          <c:val>
            <c:numRef>
              <c:f>'Top 10 equal'!$D$2:$D$11</c:f>
              <c:numCache>
                <c:formatCode>General</c:formatCode>
                <c:ptCount val="10"/>
                <c:pt idx="0">
                  <c:v>1.2999999999999999E-2</c:v>
                </c:pt>
                <c:pt idx="1">
                  <c:v>1.6E-2</c:v>
                </c:pt>
                <c:pt idx="2">
                  <c:v>1.7999999999999999E-2</c:v>
                </c:pt>
                <c:pt idx="3">
                  <c:v>2.3E-2</c:v>
                </c:pt>
                <c:pt idx="4">
                  <c:v>2.5000000000000001E-2</c:v>
                </c:pt>
                <c:pt idx="5">
                  <c:v>3.3000000000000002E-2</c:v>
                </c:pt>
                <c:pt idx="6">
                  <c:v>0.04</c:v>
                </c:pt>
                <c:pt idx="7">
                  <c:v>4.2999999999999997E-2</c:v>
                </c:pt>
                <c:pt idx="8">
                  <c:v>4.3999999999999997E-2</c:v>
                </c:pt>
                <c:pt idx="9">
                  <c:v>4.8000000000000001E-2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1-4C63-B16A-AC8C25CA7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1848383"/>
        <c:axId val="2141834463"/>
      </c:barChart>
      <c:catAx>
        <c:axId val="2141848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834463"/>
        <c:crosses val="autoZero"/>
        <c:auto val="1"/>
        <c:lblAlgn val="ctr"/>
        <c:lblOffset val="100"/>
        <c:noMultiLvlLbl val="0"/>
      </c:catAx>
      <c:valAx>
        <c:axId val="214183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Gender Inequality Index (GII)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84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Gender Inequality by Continent (2021)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'Continent Averages '!$B$1</c:f>
              <c:strCache>
                <c:ptCount val="1"/>
                <c:pt idx="0">
                  <c:v>avg_inequality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'Continent Averages '!$A$2:$A$6</c:f>
              <c:strCache>
                <c:ptCount val="5"/>
                <c:pt idx="0">
                  <c:v>Africa</c:v>
                </c:pt>
                <c:pt idx="1">
                  <c:v>Oceania</c:v>
                </c:pt>
                <c:pt idx="2">
                  <c:v>America</c:v>
                </c:pt>
                <c:pt idx="3">
                  <c:v>Asia</c:v>
                </c:pt>
                <c:pt idx="4">
                  <c:v>Europe</c:v>
                </c:pt>
              </c:strCache>
            </c:strRef>
          </c:cat>
          <c:val>
            <c:numRef>
              <c:f>'Continent Averages '!$B$2:$B$6</c:f>
              <c:numCache>
                <c:formatCode>General</c:formatCode>
                <c:ptCount val="5"/>
                <c:pt idx="0">
                  <c:v>0.52500000000000002</c:v>
                </c:pt>
                <c:pt idx="1">
                  <c:v>0.36699999999999999</c:v>
                </c:pt>
                <c:pt idx="2">
                  <c:v>0.33800000000000002</c:v>
                </c:pt>
                <c:pt idx="3">
                  <c:v>0.318</c:v>
                </c:pt>
                <c:pt idx="4">
                  <c:v>0.10299999999999999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7-449D-9D8C-AFB2078C8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7227376"/>
        <c:axId val="1377227856"/>
      </c:barChart>
      <c:catAx>
        <c:axId val="1377227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Continent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227856"/>
        <c:crosses val="autoZero"/>
        <c:auto val="1"/>
        <c:lblAlgn val="ctr"/>
        <c:lblOffset val="100"/>
        <c:noMultiLvlLbl val="0"/>
      </c:catAx>
      <c:valAx>
        <c:axId val="137722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GII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22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Global Gender Inequality Trend (1990-2021)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'Global Trend'!$I$1:$I$2</c:f>
              <c:strCache>
                <c:ptCount val="2"/>
                <c:pt idx="0">
                  <c:v>H</c:v>
                </c:pt>
                <c:pt idx="1">
                  <c:v>GII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'Global Trend'!$I$3:$I$6</c:f>
              <c:numCache>
                <c:formatCode>General</c:formatCode>
                <c:ptCount val="4"/>
                <c:pt idx="0">
                  <c:v>0.48799999999999999</c:v>
                </c:pt>
                <c:pt idx="1">
                  <c:v>0.438</c:v>
                </c:pt>
                <c:pt idx="2">
                  <c:v>0.374</c:v>
                </c:pt>
                <c:pt idx="3">
                  <c:v>0.32200000000000001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BB-46D2-AA5E-9187F6456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6902080"/>
        <c:axId val="14569035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'Global Trend'!$H$1:$H$2</c15:sqref>
                        </c15:formulaRef>
                      </c:ext>
                    </c:extLst>
                    <c:strCache>
                      <c:ptCount val="2"/>
                      <c:pt idx="0">
                        <c:v>G</c:v>
                      </c:pt>
                      <c:pt idx="1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'Global Trend'!$H$3:$H$6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1990</c:v>
                      </c:pt>
                      <c:pt idx="1">
                        <c:v>2000</c:v>
                      </c:pt>
                      <c:pt idx="2">
                        <c:v>2010</c:v>
                      </c:pt>
                      <c:pt idx="3">
                        <c:v>2021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3BB-46D2-AA5E-9187F64567E5}"/>
                  </c:ext>
                </c:extLst>
              </c15:ser>
            </c15:filteredLineSeries>
          </c:ext>
        </c:extLst>
      </c:lineChart>
      <c:catAx>
        <c:axId val="1456902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03520"/>
        <c:crosses val="autoZero"/>
        <c:auto val="1"/>
        <c:lblAlgn val="ctr"/>
        <c:lblOffset val="100"/>
        <c:noMultiLvlLbl val="0"/>
      </c:catAx>
      <c:valAx>
        <c:axId val="145690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</a:t>
                </a:r>
                <a:r>
                  <a:rPr lang="en-US" sz="1000" b="0" i="0" u="none" strike="noStrike" baseline="0"/>
                  <a:t>Average GII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0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Gender Inequality in Selected African Countries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'Africa Analysis '!$C$1</c:f>
              <c:strCache>
                <c:ptCount val="1"/>
                <c:pt idx="0">
                  <c:v>gii_2021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FFFF00"/>
              </a:solidFill>
            </a:ln>
            <a:effectLst/>
          </c:spPr>
          <c:invertIfNegative val="0"/>
          <c:cat>
            <c:strRef>
              <c:f>'Africa Analysis '!$A$2:$A$16</c:f>
              <c:strCache>
                <c:ptCount val="15"/>
                <c:pt idx="0">
                  <c:v>Tunisia</c:v>
                </c:pt>
                <c:pt idx="1">
                  <c:v>Mauritius</c:v>
                </c:pt>
                <c:pt idx="2">
                  <c:v>Rwanda</c:v>
                </c:pt>
                <c:pt idx="3">
                  <c:v>South Africa</c:v>
                </c:pt>
                <c:pt idx="4">
                  <c:v>Morocco</c:v>
                </c:pt>
                <c:pt idx="5">
                  <c:v>Egypt</c:v>
                </c:pt>
                <c:pt idx="6">
                  <c:v>Namibia</c:v>
                </c:pt>
                <c:pt idx="7">
                  <c:v>Botswana</c:v>
                </c:pt>
                <c:pt idx="8">
                  <c:v>Sao Tome and Principe</c:v>
                </c:pt>
                <c:pt idx="9">
                  <c:v>Algeria</c:v>
                </c:pt>
                <c:pt idx="10">
                  <c:v>Kenya</c:v>
                </c:pt>
                <c:pt idx="11">
                  <c:v>Ghana</c:v>
                </c:pt>
                <c:pt idx="12">
                  <c:v>Senegal</c:v>
                </c:pt>
                <c:pt idx="13">
                  <c:v>Uganda</c:v>
                </c:pt>
                <c:pt idx="14">
                  <c:v>Zimbabwe</c:v>
                </c:pt>
              </c:strCache>
            </c:strRef>
          </c:cat>
          <c:val>
            <c:numRef>
              <c:f>'Africa Analysis '!$C$2:$C$16</c:f>
              <c:numCache>
                <c:formatCode>General</c:formatCode>
                <c:ptCount val="15"/>
                <c:pt idx="0">
                  <c:v>0.25900000000000001</c:v>
                </c:pt>
                <c:pt idx="1">
                  <c:v>0.34699999999999998</c:v>
                </c:pt>
                <c:pt idx="2">
                  <c:v>0.38800000000000001</c:v>
                </c:pt>
                <c:pt idx="3">
                  <c:v>0.40500000000000003</c:v>
                </c:pt>
                <c:pt idx="4">
                  <c:v>0.42499999999999999</c:v>
                </c:pt>
                <c:pt idx="5">
                  <c:v>0.443</c:v>
                </c:pt>
                <c:pt idx="6">
                  <c:v>0.44500000000000001</c:v>
                </c:pt>
                <c:pt idx="7">
                  <c:v>0.46800000000000003</c:v>
                </c:pt>
                <c:pt idx="8">
                  <c:v>0.49399999999999999</c:v>
                </c:pt>
                <c:pt idx="9">
                  <c:v>0.499</c:v>
                </c:pt>
                <c:pt idx="10">
                  <c:v>0.50600000000000001</c:v>
                </c:pt>
                <c:pt idx="11">
                  <c:v>0.52900000000000003</c:v>
                </c:pt>
                <c:pt idx="12">
                  <c:v>0.53</c:v>
                </c:pt>
                <c:pt idx="13">
                  <c:v>0.53</c:v>
                </c:pt>
                <c:pt idx="14">
                  <c:v>0.53200000000000003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9-47E3-8981-526E10BDF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6368400"/>
        <c:axId val="1386369840"/>
      </c:barChart>
      <c:catAx>
        <c:axId val="1386368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369840"/>
        <c:crosses val="autoZero"/>
        <c:auto val="1"/>
        <c:lblAlgn val="ctr"/>
        <c:lblOffset val="100"/>
        <c:noMultiLvlLbl val="0"/>
      </c:catAx>
      <c:valAx>
        <c:axId val="138636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  <a:r>
                  <a:rPr lang="en-US" baseline="0"/>
                  <a:t> Inequality Index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672178477690284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36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Countries with Biggest Gender Inequality Improvements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'Biggest Improvements'!$F$1</c:f>
              <c:strCache>
                <c:ptCount val="1"/>
                <c:pt idx="0">
                  <c:v>improvement_percent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'Biggest Improvements'!$A$2:$A$11</c:f>
              <c:strCache>
                <c:ptCount val="10"/>
                <c:pt idx="0">
                  <c:v>United Arab Emirates</c:v>
                </c:pt>
                <c:pt idx="1">
                  <c:v>Maldives</c:v>
                </c:pt>
                <c:pt idx="2">
                  <c:v>Turkey</c:v>
                </c:pt>
                <c:pt idx="3">
                  <c:v>Chile</c:v>
                </c:pt>
                <c:pt idx="4">
                  <c:v>Morocco</c:v>
                </c:pt>
                <c:pt idx="5">
                  <c:v>Tunisia</c:v>
                </c:pt>
                <c:pt idx="6">
                  <c:v>North Macedonia</c:v>
                </c:pt>
                <c:pt idx="7">
                  <c:v>Estonia</c:v>
                </c:pt>
                <c:pt idx="8">
                  <c:v>Kuwait</c:v>
                </c:pt>
                <c:pt idx="9">
                  <c:v>Pakistan</c:v>
                </c:pt>
              </c:strCache>
            </c:strRef>
          </c:cat>
          <c:val>
            <c:numRef>
              <c:f>'Biggest Improvements'!$F$2:$F$11</c:f>
              <c:numCache>
                <c:formatCode>General</c:formatCode>
                <c:ptCount val="10"/>
                <c:pt idx="0">
                  <c:v>92.6</c:v>
                </c:pt>
                <c:pt idx="1">
                  <c:v>51.2</c:v>
                </c:pt>
                <c:pt idx="2">
                  <c:v>55.5</c:v>
                </c:pt>
                <c:pt idx="3">
                  <c:v>63.5</c:v>
                </c:pt>
                <c:pt idx="4">
                  <c:v>42.6</c:v>
                </c:pt>
                <c:pt idx="5">
                  <c:v>53.6</c:v>
                </c:pt>
                <c:pt idx="6">
                  <c:v>68.5</c:v>
                </c:pt>
                <c:pt idx="7">
                  <c:v>74.400000000000006</c:v>
                </c:pt>
                <c:pt idx="8">
                  <c:v>48.4</c:v>
                </c:pt>
                <c:pt idx="9">
                  <c:v>34.200000000000003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6-4133-8323-3C309FECB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923503"/>
        <c:axId val="1384808576"/>
      </c:barChart>
      <c:catAx>
        <c:axId val="108923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808576"/>
        <c:crosses val="autoZero"/>
        <c:auto val="1"/>
        <c:lblAlgn val="ctr"/>
        <c:lblOffset val="100"/>
        <c:noMultiLvlLbl val="0"/>
      </c:catAx>
      <c:valAx>
        <c:axId val="138480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23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Distribution of Countries by Gender Inequality Level (2021)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'Global Summary '!$K$1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'Global Summary '!$J$2:$J$4</c:f>
              <c:strCache>
                <c:ptCount val="3"/>
                <c:pt idx="0">
                  <c:v>Low Inequality</c:v>
                </c:pt>
                <c:pt idx="1">
                  <c:v>Medium Inequality</c:v>
                </c:pt>
                <c:pt idx="2">
                  <c:v>High Inequality</c:v>
                </c:pt>
              </c:strCache>
            </c:strRef>
          </c:cat>
          <c:val>
            <c:numRef>
              <c:f>'Global Summary '!$K$2:$K$4</c:f>
              <c:numCache>
                <c:formatCode>General</c:formatCode>
                <c:ptCount val="3"/>
                <c:pt idx="0">
                  <c:v>57</c:v>
                </c:pt>
                <c:pt idx="1">
                  <c:v>42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0-4F74-AE36-3BC0D67100A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444500</xdr:colOff>
      <xdr:row>8</xdr:row>
      <xdr:rowOff>12700</xdr:rowOff>
    </xdr:from>
    <xdr:to>
      <xdr:col>2</xdr:col>
      <xdr:colOff>12700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ACDE1-3ED9-4A83-B94E-492D82CBB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6350</xdr:colOff>
      <xdr:row>7</xdr:row>
      <xdr:rowOff>171450</xdr:rowOff>
    </xdr:from>
    <xdr:to>
      <xdr:col>10</xdr:col>
      <xdr:colOff>361950</xdr:colOff>
      <xdr:row>17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CC742D-65BA-4CA9-8C38-299D813AD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19050</xdr:colOff>
      <xdr:row>20</xdr:row>
      <xdr:rowOff>19050</xdr:rowOff>
    </xdr:from>
    <xdr:to>
      <xdr:col>10</xdr:col>
      <xdr:colOff>425450</xdr:colOff>
      <xdr:row>30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5BE826-9ED5-4F2E-AC8F-0856864FA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431799</xdr:colOff>
      <xdr:row>19</xdr:row>
      <xdr:rowOff>171451</xdr:rowOff>
    </xdr:from>
    <xdr:to>
      <xdr:col>2</xdr:col>
      <xdr:colOff>0</xdr:colOff>
      <xdr:row>30</xdr:row>
      <xdr:rowOff>31751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0C6A22E-5741-8649-9665-463496FB5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1799" y="3841751"/>
          <a:ext cx="4356101" cy="1885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469900</xdr:colOff>
      <xdr:row>1</xdr:row>
      <xdr:rowOff>50800</xdr:rowOff>
    </xdr:from>
    <xdr:to>
      <xdr:col>16</xdr:col>
      <xdr:colOff>482600</xdr:colOff>
      <xdr:row>16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1CFECAF-612D-4E4F-1F58-D647A499B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250825</xdr:colOff>
      <xdr:row>0</xdr:row>
      <xdr:rowOff>107950</xdr:rowOff>
    </xdr:from>
    <xdr:to>
      <xdr:col>11</xdr:col>
      <xdr:colOff>555625</xdr:colOff>
      <xdr:row>15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E02019-95F1-2731-7909-C84AA7206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53975</xdr:colOff>
      <xdr:row>0</xdr:row>
      <xdr:rowOff>133350</xdr:rowOff>
    </xdr:from>
    <xdr:to>
      <xdr:col>11</xdr:col>
      <xdr:colOff>358775</xdr:colOff>
      <xdr:row>15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90C0F0-7AAD-C138-44A6-F455CB15C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168275</xdr:colOff>
      <xdr:row>3</xdr:row>
      <xdr:rowOff>38100</xdr:rowOff>
    </xdr:from>
    <xdr:to>
      <xdr:col>6</xdr:col>
      <xdr:colOff>231775</xdr:colOff>
      <xdr:row>18</xdr:row>
      <xdr:rowOff>19050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25743D8-CA38-7CCD-CD87-D39E8A7E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0</xdr:row>
      <xdr:rowOff>101600</xdr:rowOff>
    </xdr:from>
    <xdr:to>
      <xdr:col>12</xdr:col>
      <xdr:colOff>219075</xdr:colOff>
      <xdr:row>15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295CAC-78E2-B092-70BF-ED2C198FC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63500</xdr:rowOff>
    </xdr:from>
    <xdr:to>
      <xdr:col>14</xdr:col>
      <xdr:colOff>320675</xdr:colOff>
      <xdr:row>15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A321FC-F2B2-FF2C-5805-05C6482A6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911225</xdr:colOff>
      <xdr:row>4</xdr:row>
      <xdr:rowOff>38100</xdr:rowOff>
    </xdr:from>
    <xdr:to>
      <xdr:col>5</xdr:col>
      <xdr:colOff>1222375</xdr:colOff>
      <xdr:row>19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9A0FBD-58FB-2572-947E-FD0A0089F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E988320-DCC9-48D1-B9A3-DC66942FA38C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continent" tableColumnId="2"/>
      <queryTableField id="3" name="human_dev_groups" tableColumnId="3"/>
      <queryTableField id="4" name="gii_2021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14AE195-66B4-4931-ABDB-2ABDBFAC6B2E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continent" tableColumnId="2"/>
      <queryTableField id="3" name="human_dev_groups" tableColumnId="3"/>
      <queryTableField id="4" name="gii_2021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F33F1F6-3AAD-4F8F-83A2-DD8C77972E9D}" autoFormatId="16" applyNumberFormats="0" applyBorderFormats="0" applyFontFormats="0" applyPatternFormats="0" applyAlignmentFormats="0" applyWidthHeightFormats="0">
  <queryTableRefresh nextId="4">
    <queryTableFields count="3">
      <queryTableField id="1" name="continent" tableColumnId="1"/>
      <queryTableField id="2" name="avg_inequality" tableColumnId="2"/>
      <queryTableField id="3" name="country_cou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9BFBC16-7309-49EA-A577-D43F62C3E1A5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avg_1990" tableColumnId="2"/>
      <queryTableField id="3" name="avg_2000" tableColumnId="3"/>
      <queryTableField id="4" name="avg_2010" tableColumnId="4"/>
      <queryTableField id="5" name="avg_2021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43DB41-1C12-4CD9-81C9-AACDB9C0D78B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human_dev_groups" tableColumnId="2"/>
      <queryTableField id="3" name="gii_2021" tableColumnId="3"/>
      <queryTableField id="4" name="inequality_level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8038A1F-2A41-4CF7-8A96-ED74ACD5B9D2}" autoFormatId="16" applyNumberFormats="0" applyBorderFormats="0" applyFontFormats="0" applyPatternFormats="0" applyAlignmentFormats="0" applyWidthHeightFormats="0">
  <queryTableRefresh nextId="7">
    <queryTableFields count="6">
      <queryTableField id="1" name="country" tableColumnId="1"/>
      <queryTableField id="2" name="continent" tableColumnId="2"/>
      <queryTableField id="3" name="gii_1990" tableColumnId="3"/>
      <queryTableField id="4" name="gii_2021" tableColumnId="4"/>
      <queryTableField id="5" name="improvement" tableColumnId="5"/>
      <queryTableField id="6" name="improvement_percent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EB004AD-3DAB-4F02-94D5-97517834A34F}" autoFormatId="16" applyNumberFormats="0" applyBorderFormats="0" applyFontFormats="0" applyPatternFormats="0" applyAlignmentFormats="0" applyWidthHeightFormats="0">
  <queryTableRefresh nextId="8">
    <queryTableFields count="7">
      <queryTableField id="1" name="total_countries" tableColumnId="1"/>
      <queryTableField id="2" name="global_avg_2021" tableColumnId="2"/>
      <queryTableField id="3" name="best_gii" tableColumnId="3"/>
      <queryTableField id="4" name="worst_gii" tableColumnId="4"/>
      <queryTableField id="5" name="low_inequality_countries" tableColumnId="5"/>
      <queryTableField id="6" name="medium_inequality_countries" tableColumnId="6"/>
      <queryTableField id="7" name="high_inequality_countrie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5E9A65-040E-4D6E-8A77-CCB648DC8980}" name="top10_most_unequal" displayName="top10_most_unequal" ref="A1:D11" tableType="queryTable" totalsRowShown="0">
  <autoFilter ref="A1:D11" xr:uid="{425E9A65-040E-4D6E-8A77-CCB648DC8980}"/>
  <tableColumns count="4">
    <tableColumn id="1" xr3:uid="{4C85BD9C-61A7-46FB-A856-6B7A5E740911}" uniqueName="1" name="country" queryTableFieldId="1" dataDxfId="12"/>
    <tableColumn id="2" xr3:uid="{63D8A213-2558-4296-9E69-34BE4866BAD7}" uniqueName="2" name="continent" queryTableFieldId="2" dataDxfId="11"/>
    <tableColumn id="3" xr3:uid="{890B9D5B-8830-44F9-A8B8-6F1E1922F403}" uniqueName="3" name="human_dev_groups" queryTableFieldId="3" dataDxfId="10"/>
    <tableColumn id="4" xr3:uid="{CAED8DA7-BB18-41B0-9180-F38F10C9FDFC}" uniqueName="4" name="gii_2021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6D171A-564B-4499-97EE-E0AFC71F2769}" name="top10_most_equal" displayName="top10_most_equal" ref="A1:D11" tableType="queryTable" totalsRowShown="0">
  <autoFilter ref="A1:D11" xr:uid="{586D171A-564B-4499-97EE-E0AFC71F2769}"/>
  <tableColumns count="4">
    <tableColumn id="1" xr3:uid="{1126E1B4-1C94-49E5-B7BF-0E386297585A}" uniqueName="1" name="country" queryTableFieldId="1" dataDxfId="9"/>
    <tableColumn id="2" xr3:uid="{34A010D7-6D60-4DD2-AB4A-93C8DE6C7768}" uniqueName="2" name="continent" queryTableFieldId="2" dataDxfId="8"/>
    <tableColumn id="3" xr3:uid="{4B1D7497-3DE8-4DE8-B68D-129FBE3FD2A9}" uniqueName="3" name="human_dev_groups" queryTableFieldId="3" dataDxfId="7"/>
    <tableColumn id="4" xr3:uid="{77644D20-228D-439D-9350-DBB5DF5D17FE}" uniqueName="4" name="gii_2021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33B978-9975-413A-AD99-F4BD3C659970}" name="continent_averages" displayName="continent_averages" ref="A1:C6" tableType="queryTable" totalsRowShown="0">
  <autoFilter ref="A1:C6" xr:uid="{A933B978-9975-413A-AD99-F4BD3C659970}"/>
  <tableColumns count="3">
    <tableColumn id="1" xr3:uid="{EF605314-DCBC-4035-AF49-23586C534760}" uniqueName="1" name="continent" queryTableFieldId="1" dataDxfId="6"/>
    <tableColumn id="2" xr3:uid="{65FB898F-1B93-444E-8A66-B07155DFD435}" uniqueName="2" name="avg_inequality" queryTableFieldId="2"/>
    <tableColumn id="3" xr3:uid="{B83741F2-A762-41CA-AB1A-2DA62B550EAA}" uniqueName="3" name="country_coun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85AE70-FC63-4208-B824-0664E2EB806C}" name="global_trend" displayName="global_trend" ref="A1:E2" tableType="queryTable" totalsRowShown="0">
  <autoFilter ref="A1:E2" xr:uid="{0985AE70-FC63-4208-B824-0664E2EB806C}"/>
  <tableColumns count="5">
    <tableColumn id="1" xr3:uid="{7DB0D91B-522D-4AE8-8BC8-83813CC4B45E}" uniqueName="1" name="region" queryTableFieldId="1" dataDxfId="5"/>
    <tableColumn id="2" xr3:uid="{3FA10AE4-F7E8-474A-B61B-F21C723EE0B0}" uniqueName="2" name="avg_1990" queryTableFieldId="2"/>
    <tableColumn id="3" xr3:uid="{02932F88-919A-4BD2-B8BB-D8D3C0271F1B}" uniqueName="3" name="avg_2000" queryTableFieldId="3"/>
    <tableColumn id="4" xr3:uid="{ADBBFD65-DAEC-48C6-9E30-5BDB69B124E3}" uniqueName="4" name="avg_2010" queryTableFieldId="4"/>
    <tableColumn id="5" xr3:uid="{CA6A470C-9DC2-4A36-933F-EB94C3FF6B9C}" uniqueName="5" name="avg_2021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52A2F2-507A-4F9B-9500-3836205DAC7A}" name="africa_analysis" displayName="africa_analysis" ref="A1:D16" tableType="queryTable" totalsRowShown="0">
  <autoFilter ref="A1:D16" xr:uid="{1F52A2F2-507A-4F9B-9500-3836205DAC7A}"/>
  <tableColumns count="4">
    <tableColumn id="1" xr3:uid="{5909629B-26EA-4A00-943F-F4D85671A6E3}" uniqueName="1" name="country" queryTableFieldId="1" dataDxfId="4"/>
    <tableColumn id="2" xr3:uid="{05334AA9-7315-47A1-A264-CCE258482E5D}" uniqueName="2" name="human_dev_groups" queryTableFieldId="2" dataDxfId="3"/>
    <tableColumn id="3" xr3:uid="{F0996608-6EE0-4932-B2C8-E576A876904E}" uniqueName="3" name="gii_2021" queryTableFieldId="3"/>
    <tableColumn id="4" xr3:uid="{D9C118AF-4C82-4F5D-9991-DA6F55BAB937}" uniqueName="4" name="inequality_level" queryTableFieldId="4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BCCE9E-58F7-4C97-A0D3-A4D709D22559}" name="biggest_improvements" displayName="biggest_improvements" ref="A1:F11" tableType="queryTable" totalsRowShown="0">
  <autoFilter ref="A1:F11" xr:uid="{07BCCE9E-58F7-4C97-A0D3-A4D709D22559}"/>
  <tableColumns count="6">
    <tableColumn id="1" xr3:uid="{86C89450-E206-47E2-A396-C06CB27FD29A}" uniqueName="1" name="country" queryTableFieldId="1" dataDxfId="1"/>
    <tableColumn id="2" xr3:uid="{84FF2D97-3AD5-4047-8320-FCDBA9DFAE4D}" uniqueName="2" name="continent" queryTableFieldId="2" dataDxfId="0"/>
    <tableColumn id="3" xr3:uid="{353B4CA9-FF81-463E-9F97-5228693EACEF}" uniqueName="3" name="gii_1990" queryTableFieldId="3"/>
    <tableColumn id="4" xr3:uid="{397436B9-426A-45D0-9379-846D4B9EF883}" uniqueName="4" name="gii_2021" queryTableFieldId="4"/>
    <tableColumn id="5" xr3:uid="{D67D8FFD-3F27-4AD2-9669-5235FB7701BB}" uniqueName="5" name="improvement" queryTableFieldId="5"/>
    <tableColumn id="6" xr3:uid="{78264011-C46E-4926-942E-6112070AC644}" uniqueName="6" name="improvement_percent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F0A25A2-F91D-4722-8BE8-27BBF76BBDD9}" name="global_summary" displayName="global_summary" ref="A1:G2" tableType="queryTable" totalsRowShown="0">
  <autoFilter ref="A1:G2" xr:uid="{FF0A25A2-F91D-4722-8BE8-27BBF76BBDD9}"/>
  <tableColumns count="7">
    <tableColumn id="1" xr3:uid="{49ACE014-75EC-4CE0-9AE6-BA75631E068C}" uniqueName="1" name="total_countries" queryTableFieldId="1"/>
    <tableColumn id="2" xr3:uid="{B4AAFFA2-D23C-4473-9DCA-E2A760AAE5F5}" uniqueName="2" name="global_avg_2021" queryTableFieldId="2"/>
    <tableColumn id="3" xr3:uid="{4E9BC89D-AE3C-4F99-B88E-253DF83C8EE3}" uniqueName="3" name="best_gii" queryTableFieldId="3"/>
    <tableColumn id="4" xr3:uid="{9AB1B935-CBDF-4B2C-AEAD-FBC1A8F079B0}" uniqueName="4" name="worst_gii" queryTableFieldId="4"/>
    <tableColumn id="5" xr3:uid="{5B0F3BBD-178C-416F-B690-926661204177}" uniqueName="5" name="low_inequality_countries" queryTableFieldId="5"/>
    <tableColumn id="6" xr3:uid="{34F9F816-7A74-40CA-B309-4AF157384B64}" uniqueName="6" name="medium_inequality_countries" queryTableFieldId="6"/>
    <tableColumn id="7" xr3:uid="{99BA08A9-05F9-4F5A-ABE3-62E95E66DA2F}" uniqueName="7" name="high_inequality_countrie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612FB-0D46-409D-ACB0-8C507CA9F40E}">
  <dimension ref="A1:M33"/>
  <sheetViews>
    <sheetView tabSelected="1" topLeftCell="A18" workbookViewId="0">
      <selection activeCell="C22" sqref="C22"/>
    </sheetView>
  </sheetViews>
  <sheetFormatPr defaultRowHeight="14.5" x14ac:dyDescent="0.35"/>
  <cols>
    <col min="1" max="1" width="50.453125" customWidth="1"/>
    <col min="2" max="2" width="18.08984375" customWidth="1"/>
  </cols>
  <sheetData>
    <row r="1" spans="1:13" ht="28" x14ac:dyDescent="0.8">
      <c r="A1" s="4" t="s">
        <v>84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x14ac:dyDescent="0.35">
      <c r="A3" t="s">
        <v>85</v>
      </c>
      <c r="B3">
        <v>128</v>
      </c>
    </row>
    <row r="4" spans="1:13" x14ac:dyDescent="0.35">
      <c r="A4" t="s">
        <v>86</v>
      </c>
      <c r="B4" t="s">
        <v>4</v>
      </c>
    </row>
    <row r="5" spans="1:13" x14ac:dyDescent="0.35">
      <c r="A5" t="s">
        <v>88</v>
      </c>
      <c r="B5" t="s">
        <v>89</v>
      </c>
    </row>
    <row r="6" spans="1:13" x14ac:dyDescent="0.35">
      <c r="A6" t="s">
        <v>87</v>
      </c>
      <c r="B6">
        <v>0.32200000000000001</v>
      </c>
    </row>
    <row r="33" spans="1:13" ht="15.5" x14ac:dyDescent="0.45">
      <c r="A33" s="6" t="s">
        <v>90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</sheetData>
  <mergeCells count="2">
    <mergeCell ref="A1:M1"/>
    <mergeCell ref="A33:M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E69B-DF9B-40FD-8A56-CDC898279FA2}">
  <dimension ref="A1:D11"/>
  <sheetViews>
    <sheetView topLeftCell="E1" workbookViewId="0">
      <selection activeCell="G3" sqref="G3:J4"/>
    </sheetView>
  </sheetViews>
  <sheetFormatPr defaultRowHeight="14.5" x14ac:dyDescent="0.35"/>
  <cols>
    <col min="1" max="1" width="20.453125" bestFit="1" customWidth="1"/>
    <col min="2" max="2" width="11.1796875" bestFit="1" customWidth="1"/>
    <col min="3" max="3" width="19.453125" bestFit="1" customWidth="1"/>
    <col min="4" max="4" width="12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>
        <v>0.72499999999999998</v>
      </c>
    </row>
    <row r="3" spans="1:4" x14ac:dyDescent="0.35">
      <c r="A3" s="1" t="s">
        <v>7</v>
      </c>
      <c r="B3" s="1" t="s">
        <v>8</v>
      </c>
      <c r="C3" s="1" t="s">
        <v>9</v>
      </c>
      <c r="D3">
        <v>0.67200000000000004</v>
      </c>
    </row>
    <row r="4" spans="1:4" x14ac:dyDescent="0.35">
      <c r="A4" s="1" t="s">
        <v>10</v>
      </c>
      <c r="B4" s="1" t="s">
        <v>8</v>
      </c>
      <c r="C4" s="1" t="s">
        <v>6</v>
      </c>
      <c r="D4">
        <v>0.63200000000000001</v>
      </c>
    </row>
    <row r="5" spans="1:4" x14ac:dyDescent="0.35">
      <c r="A5" s="1" t="s">
        <v>11</v>
      </c>
      <c r="B5" s="1" t="s">
        <v>5</v>
      </c>
      <c r="C5" s="1" t="s">
        <v>12</v>
      </c>
      <c r="D5">
        <v>0.63100000000000001</v>
      </c>
    </row>
    <row r="6" spans="1:4" x14ac:dyDescent="0.35">
      <c r="A6" s="1" t="s">
        <v>13</v>
      </c>
      <c r="B6" s="1" t="s">
        <v>8</v>
      </c>
      <c r="C6" s="1" t="s">
        <v>9</v>
      </c>
      <c r="D6">
        <v>0.621</v>
      </c>
    </row>
    <row r="7" spans="1:4" x14ac:dyDescent="0.35">
      <c r="A7" s="1" t="s">
        <v>14</v>
      </c>
      <c r="B7" s="1" t="s">
        <v>8</v>
      </c>
      <c r="C7" s="1" t="s">
        <v>6</v>
      </c>
      <c r="D7">
        <v>0.61299999999999999</v>
      </c>
    </row>
    <row r="8" spans="1:4" x14ac:dyDescent="0.35">
      <c r="A8" s="1" t="s">
        <v>15</v>
      </c>
      <c r="B8" s="1" t="s">
        <v>8</v>
      </c>
      <c r="C8" s="1" t="s">
        <v>9</v>
      </c>
      <c r="D8">
        <v>0.61299999999999999</v>
      </c>
    </row>
    <row r="9" spans="1:4" x14ac:dyDescent="0.35">
      <c r="A9" s="1" t="s">
        <v>16</v>
      </c>
      <c r="B9" s="1" t="s">
        <v>8</v>
      </c>
      <c r="C9" s="1" t="s">
        <v>9</v>
      </c>
      <c r="D9">
        <v>0.61099999999999999</v>
      </c>
    </row>
    <row r="10" spans="1:4" x14ac:dyDescent="0.35">
      <c r="A10" s="1" t="s">
        <v>17</v>
      </c>
      <c r="B10" s="1" t="s">
        <v>8</v>
      </c>
      <c r="C10" s="1" t="s">
        <v>9</v>
      </c>
      <c r="D10">
        <v>0.61099999999999999</v>
      </c>
    </row>
    <row r="11" spans="1:4" x14ac:dyDescent="0.35">
      <c r="A11" s="1" t="s">
        <v>18</v>
      </c>
      <c r="B11" s="1" t="s">
        <v>8</v>
      </c>
      <c r="C11" s="1" t="s">
        <v>9</v>
      </c>
      <c r="D11">
        <v>0.60199999999999998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5D87-2680-4EE5-BB01-76AD77746704}">
  <dimension ref="A1:D11"/>
  <sheetViews>
    <sheetView workbookViewId="0">
      <selection activeCell="C14" sqref="C14"/>
    </sheetView>
  </sheetViews>
  <sheetFormatPr defaultRowHeight="14.5" x14ac:dyDescent="0.35"/>
  <cols>
    <col min="1" max="1" width="10.7265625" bestFit="1" customWidth="1"/>
    <col min="2" max="2" width="11.1796875" bestFit="1" customWidth="1"/>
    <col min="3" max="3" width="19.453125" bestFit="1" customWidth="1"/>
    <col min="4" max="4" width="9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19</v>
      </c>
      <c r="B2" s="1" t="s">
        <v>20</v>
      </c>
      <c r="C2" s="1" t="s">
        <v>21</v>
      </c>
      <c r="D2">
        <v>1.2999999999999999E-2</v>
      </c>
    </row>
    <row r="3" spans="1:4" x14ac:dyDescent="0.35">
      <c r="A3" s="1" t="s">
        <v>22</v>
      </c>
      <c r="B3" s="1" t="s">
        <v>20</v>
      </c>
      <c r="C3" s="1" t="s">
        <v>21</v>
      </c>
      <c r="D3">
        <v>1.6E-2</v>
      </c>
    </row>
    <row r="4" spans="1:4" x14ac:dyDescent="0.35">
      <c r="A4" s="1" t="s">
        <v>23</v>
      </c>
      <c r="B4" s="1" t="s">
        <v>20</v>
      </c>
      <c r="C4" s="1" t="s">
        <v>21</v>
      </c>
      <c r="D4">
        <v>1.7999999999999999E-2</v>
      </c>
    </row>
    <row r="5" spans="1:4" x14ac:dyDescent="0.35">
      <c r="A5" s="1" t="s">
        <v>24</v>
      </c>
      <c r="B5" s="1" t="s">
        <v>20</v>
      </c>
      <c r="C5" s="1" t="s">
        <v>21</v>
      </c>
      <c r="D5">
        <v>2.3E-2</v>
      </c>
    </row>
    <row r="6" spans="1:4" x14ac:dyDescent="0.35">
      <c r="A6" s="1" t="s">
        <v>25</v>
      </c>
      <c r="B6" s="1" t="s">
        <v>20</v>
      </c>
      <c r="C6" s="1" t="s">
        <v>21</v>
      </c>
      <c r="D6">
        <v>2.5000000000000001E-2</v>
      </c>
    </row>
    <row r="7" spans="1:4" x14ac:dyDescent="0.35">
      <c r="A7" s="1" t="s">
        <v>26</v>
      </c>
      <c r="B7" s="1" t="s">
        <v>20</v>
      </c>
      <c r="C7" s="1" t="s">
        <v>21</v>
      </c>
      <c r="D7">
        <v>3.3000000000000002E-2</v>
      </c>
    </row>
    <row r="8" spans="1:4" x14ac:dyDescent="0.35">
      <c r="A8" s="1" t="s">
        <v>27</v>
      </c>
      <c r="B8" s="1" t="s">
        <v>28</v>
      </c>
      <c r="C8" s="1" t="s">
        <v>21</v>
      </c>
      <c r="D8">
        <v>0.04</v>
      </c>
    </row>
    <row r="9" spans="1:4" x14ac:dyDescent="0.35">
      <c r="A9" s="1" t="s">
        <v>29</v>
      </c>
      <c r="B9" s="1" t="s">
        <v>20</v>
      </c>
      <c r="C9" s="1" t="s">
        <v>21</v>
      </c>
      <c r="D9">
        <v>4.2999999999999997E-2</v>
      </c>
    </row>
    <row r="10" spans="1:4" x14ac:dyDescent="0.35">
      <c r="A10" s="1" t="s">
        <v>30</v>
      </c>
      <c r="B10" s="1" t="s">
        <v>20</v>
      </c>
      <c r="C10" s="1" t="s">
        <v>21</v>
      </c>
      <c r="D10">
        <v>4.3999999999999997E-2</v>
      </c>
    </row>
    <row r="11" spans="1:4" x14ac:dyDescent="0.35">
      <c r="A11" s="1" t="s">
        <v>31</v>
      </c>
      <c r="B11" s="1" t="s">
        <v>20</v>
      </c>
      <c r="C11" s="1" t="s">
        <v>21</v>
      </c>
      <c r="D11">
        <v>4.8000000000000001E-2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8A2C-28D9-40B7-976C-F8926E8A72FC}">
  <dimension ref="A1:C6"/>
  <sheetViews>
    <sheetView workbookViewId="0">
      <selection activeCell="C14" sqref="C14"/>
    </sheetView>
  </sheetViews>
  <sheetFormatPr defaultRowHeight="14.5" x14ac:dyDescent="0.35"/>
  <cols>
    <col min="1" max="1" width="11.1796875" bestFit="1" customWidth="1"/>
    <col min="2" max="2" width="15.26953125" bestFit="1" customWidth="1"/>
    <col min="3" max="3" width="15.1796875" bestFit="1" customWidth="1"/>
  </cols>
  <sheetData>
    <row r="1" spans="1:3" x14ac:dyDescent="0.35">
      <c r="A1" t="s">
        <v>1</v>
      </c>
      <c r="B1" t="s">
        <v>32</v>
      </c>
      <c r="C1" t="s">
        <v>33</v>
      </c>
    </row>
    <row r="2" spans="1:3" x14ac:dyDescent="0.35">
      <c r="A2" s="1" t="s">
        <v>8</v>
      </c>
      <c r="B2">
        <v>0.52500000000000002</v>
      </c>
      <c r="C2">
        <v>34</v>
      </c>
    </row>
    <row r="3" spans="1:3" x14ac:dyDescent="0.35">
      <c r="A3" s="1" t="s">
        <v>5</v>
      </c>
      <c r="B3">
        <v>0.36699999999999999</v>
      </c>
      <c r="C3">
        <v>5</v>
      </c>
    </row>
    <row r="4" spans="1:3" x14ac:dyDescent="0.35">
      <c r="A4" s="1" t="s">
        <v>34</v>
      </c>
      <c r="B4">
        <v>0.33800000000000002</v>
      </c>
      <c r="C4">
        <v>25</v>
      </c>
    </row>
    <row r="5" spans="1:3" x14ac:dyDescent="0.35">
      <c r="A5" s="1" t="s">
        <v>28</v>
      </c>
      <c r="B5">
        <v>0.318</v>
      </c>
      <c r="C5">
        <v>30</v>
      </c>
    </row>
    <row r="6" spans="1:3" x14ac:dyDescent="0.35">
      <c r="A6" s="1" t="s">
        <v>20</v>
      </c>
      <c r="B6">
        <v>0.10299999999999999</v>
      </c>
      <c r="C6">
        <v>34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E4F5-5F4C-4CF7-90AD-15ED9E63A145}">
  <dimension ref="A1:I6"/>
  <sheetViews>
    <sheetView workbookViewId="0">
      <selection activeCell="I14" sqref="I14"/>
    </sheetView>
  </sheetViews>
  <sheetFormatPr defaultRowHeight="14.5" x14ac:dyDescent="0.35"/>
  <cols>
    <col min="1" max="1" width="12.90625" bestFit="1" customWidth="1"/>
    <col min="2" max="5" width="10.7265625" bestFit="1" customWidth="1"/>
  </cols>
  <sheetData>
    <row r="1" spans="1:9" x14ac:dyDescent="0.35">
      <c r="A1" t="s">
        <v>35</v>
      </c>
      <c r="B1" t="s">
        <v>36</v>
      </c>
      <c r="C1" t="s">
        <v>37</v>
      </c>
      <c r="D1" t="s">
        <v>38</v>
      </c>
      <c r="E1" t="s">
        <v>39</v>
      </c>
      <c r="H1" t="s">
        <v>78</v>
      </c>
      <c r="I1" t="s">
        <v>79</v>
      </c>
    </row>
    <row r="2" spans="1:9" x14ac:dyDescent="0.35">
      <c r="A2" s="1" t="s">
        <v>40</v>
      </c>
      <c r="B2">
        <v>0.48799999999999999</v>
      </c>
      <c r="C2">
        <v>0.438</v>
      </c>
      <c r="D2">
        <v>0.374</v>
      </c>
      <c r="E2">
        <v>0.32200000000000001</v>
      </c>
      <c r="H2" t="s">
        <v>81</v>
      </c>
      <c r="I2" t="s">
        <v>80</v>
      </c>
    </row>
    <row r="3" spans="1:9" x14ac:dyDescent="0.35">
      <c r="H3">
        <v>1990</v>
      </c>
      <c r="I3">
        <v>0.48799999999999999</v>
      </c>
    </row>
    <row r="4" spans="1:9" x14ac:dyDescent="0.35">
      <c r="H4">
        <v>2000</v>
      </c>
      <c r="I4">
        <v>0.438</v>
      </c>
    </row>
    <row r="5" spans="1:9" x14ac:dyDescent="0.35">
      <c r="H5">
        <v>2010</v>
      </c>
      <c r="I5">
        <v>0.374</v>
      </c>
    </row>
    <row r="6" spans="1:9" x14ac:dyDescent="0.35">
      <c r="H6">
        <v>2021</v>
      </c>
      <c r="I6">
        <v>0.32200000000000001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4C1-DFAE-4EEB-BE55-1C2F6E178AEB}">
  <dimension ref="A1:D16"/>
  <sheetViews>
    <sheetView topLeftCell="B1" workbookViewId="0">
      <selection activeCell="E19" sqref="E19"/>
    </sheetView>
  </sheetViews>
  <sheetFormatPr defaultRowHeight="14.5" x14ac:dyDescent="0.35"/>
  <cols>
    <col min="1" max="1" width="19.1796875" bestFit="1" customWidth="1"/>
    <col min="2" max="2" width="19.453125" bestFit="1" customWidth="1"/>
    <col min="3" max="3" width="9.90625" bestFit="1" customWidth="1"/>
    <col min="4" max="4" width="16.453125" bestFit="1" customWidth="1"/>
  </cols>
  <sheetData>
    <row r="1" spans="1:4" x14ac:dyDescent="0.35">
      <c r="A1" t="s">
        <v>0</v>
      </c>
      <c r="B1" t="s">
        <v>2</v>
      </c>
      <c r="C1" t="s">
        <v>3</v>
      </c>
      <c r="D1" t="s">
        <v>41</v>
      </c>
    </row>
    <row r="2" spans="1:4" x14ac:dyDescent="0.35">
      <c r="A2" s="1" t="s">
        <v>42</v>
      </c>
      <c r="B2" s="1" t="s">
        <v>12</v>
      </c>
      <c r="C2">
        <v>0.25900000000000001</v>
      </c>
      <c r="D2" s="1" t="s">
        <v>43</v>
      </c>
    </row>
    <row r="3" spans="1:4" x14ac:dyDescent="0.35">
      <c r="A3" s="1" t="s">
        <v>44</v>
      </c>
      <c r="B3" s="1" t="s">
        <v>21</v>
      </c>
      <c r="C3">
        <v>0.34699999999999998</v>
      </c>
      <c r="D3" s="1" t="s">
        <v>45</v>
      </c>
    </row>
    <row r="4" spans="1:4" x14ac:dyDescent="0.35">
      <c r="A4" s="1" t="s">
        <v>46</v>
      </c>
      <c r="B4" s="1" t="s">
        <v>9</v>
      </c>
      <c r="C4">
        <v>0.38800000000000001</v>
      </c>
      <c r="D4" s="1" t="s">
        <v>45</v>
      </c>
    </row>
    <row r="5" spans="1:4" x14ac:dyDescent="0.35">
      <c r="A5" s="1" t="s">
        <v>47</v>
      </c>
      <c r="B5" s="1" t="s">
        <v>12</v>
      </c>
      <c r="C5">
        <v>0.40500000000000003</v>
      </c>
      <c r="D5" s="1" t="s">
        <v>45</v>
      </c>
    </row>
    <row r="6" spans="1:4" x14ac:dyDescent="0.35">
      <c r="A6" s="1" t="s">
        <v>48</v>
      </c>
      <c r="B6" s="1" t="s">
        <v>6</v>
      </c>
      <c r="C6">
        <v>0.42499999999999999</v>
      </c>
      <c r="D6" s="1" t="s">
        <v>45</v>
      </c>
    </row>
    <row r="7" spans="1:4" x14ac:dyDescent="0.35">
      <c r="A7" s="1" t="s">
        <v>49</v>
      </c>
      <c r="B7" s="1" t="s">
        <v>12</v>
      </c>
      <c r="C7">
        <v>0.443</v>
      </c>
      <c r="D7" s="1" t="s">
        <v>45</v>
      </c>
    </row>
    <row r="8" spans="1:4" x14ac:dyDescent="0.35">
      <c r="A8" s="1" t="s">
        <v>50</v>
      </c>
      <c r="B8" s="1" t="s">
        <v>6</v>
      </c>
      <c r="C8">
        <v>0.44500000000000001</v>
      </c>
      <c r="D8" s="1" t="s">
        <v>45</v>
      </c>
    </row>
    <row r="9" spans="1:4" x14ac:dyDescent="0.35">
      <c r="A9" s="1" t="s">
        <v>51</v>
      </c>
      <c r="B9" s="1" t="s">
        <v>6</v>
      </c>
      <c r="C9">
        <v>0.46800000000000003</v>
      </c>
      <c r="D9" s="1" t="s">
        <v>45</v>
      </c>
    </row>
    <row r="10" spans="1:4" x14ac:dyDescent="0.35">
      <c r="A10" s="1" t="s">
        <v>52</v>
      </c>
      <c r="B10" s="1" t="s">
        <v>6</v>
      </c>
      <c r="C10">
        <v>0.49399999999999999</v>
      </c>
      <c r="D10" s="1" t="s">
        <v>45</v>
      </c>
    </row>
    <row r="11" spans="1:4" x14ac:dyDescent="0.35">
      <c r="A11" s="1" t="s">
        <v>53</v>
      </c>
      <c r="B11" s="1" t="s">
        <v>12</v>
      </c>
      <c r="C11">
        <v>0.499</v>
      </c>
      <c r="D11" s="1" t="s">
        <v>45</v>
      </c>
    </row>
    <row r="12" spans="1:4" x14ac:dyDescent="0.35">
      <c r="A12" s="1" t="s">
        <v>54</v>
      </c>
      <c r="B12" s="1" t="s">
        <v>6</v>
      </c>
      <c r="C12">
        <v>0.50600000000000001</v>
      </c>
      <c r="D12" s="1" t="s">
        <v>55</v>
      </c>
    </row>
    <row r="13" spans="1:4" x14ac:dyDescent="0.35">
      <c r="A13" s="1" t="s">
        <v>56</v>
      </c>
      <c r="B13" s="1" t="s">
        <v>6</v>
      </c>
      <c r="C13">
        <v>0.52900000000000003</v>
      </c>
      <c r="D13" s="1" t="s">
        <v>55</v>
      </c>
    </row>
    <row r="14" spans="1:4" x14ac:dyDescent="0.35">
      <c r="A14" s="1" t="s">
        <v>57</v>
      </c>
      <c r="B14" s="1" t="s">
        <v>9</v>
      </c>
      <c r="C14">
        <v>0.53</v>
      </c>
      <c r="D14" s="1" t="s">
        <v>55</v>
      </c>
    </row>
    <row r="15" spans="1:4" x14ac:dyDescent="0.35">
      <c r="A15" s="1" t="s">
        <v>58</v>
      </c>
      <c r="B15" s="1" t="s">
        <v>9</v>
      </c>
      <c r="C15">
        <v>0.53</v>
      </c>
      <c r="D15" s="1" t="s">
        <v>55</v>
      </c>
    </row>
    <row r="16" spans="1:4" x14ac:dyDescent="0.35">
      <c r="A16" s="1" t="s">
        <v>59</v>
      </c>
      <c r="B16" s="1" t="s">
        <v>6</v>
      </c>
      <c r="C16">
        <v>0.53200000000000003</v>
      </c>
      <c r="D16" s="1" t="s">
        <v>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525F0-A582-49E3-A949-61F1D9912F51}">
  <dimension ref="A1:F11"/>
  <sheetViews>
    <sheetView topLeftCell="E1" workbookViewId="0">
      <selection activeCell="F15" sqref="F15"/>
    </sheetView>
  </sheetViews>
  <sheetFormatPr defaultRowHeight="14.5" x14ac:dyDescent="0.35"/>
  <cols>
    <col min="1" max="1" width="18" bestFit="1" customWidth="1"/>
    <col min="2" max="2" width="11.1796875" bestFit="1" customWidth="1"/>
    <col min="3" max="4" width="9.90625" bestFit="1" customWidth="1"/>
    <col min="5" max="5" width="14.26953125" bestFit="1" customWidth="1"/>
    <col min="6" max="6" width="21.7265625" bestFit="1" customWidth="1"/>
  </cols>
  <sheetData>
    <row r="1" spans="1:6" x14ac:dyDescent="0.35">
      <c r="A1" t="s">
        <v>0</v>
      </c>
      <c r="B1" t="s">
        <v>1</v>
      </c>
      <c r="C1" t="s">
        <v>60</v>
      </c>
      <c r="D1" t="s">
        <v>3</v>
      </c>
      <c r="E1" t="s">
        <v>61</v>
      </c>
      <c r="F1" t="s">
        <v>62</v>
      </c>
    </row>
    <row r="2" spans="1:6" x14ac:dyDescent="0.35">
      <c r="A2" s="1" t="s">
        <v>63</v>
      </c>
      <c r="B2" s="1" t="s">
        <v>28</v>
      </c>
      <c r="C2">
        <v>0.65900000000000003</v>
      </c>
      <c r="D2">
        <v>4.9000000000000002E-2</v>
      </c>
      <c r="E2">
        <v>0.61</v>
      </c>
      <c r="F2">
        <v>92.6</v>
      </c>
    </row>
    <row r="3" spans="1:6" x14ac:dyDescent="0.35">
      <c r="A3" s="1" t="s">
        <v>64</v>
      </c>
      <c r="B3" s="1" t="s">
        <v>28</v>
      </c>
      <c r="C3">
        <v>0.71299999999999997</v>
      </c>
      <c r="D3">
        <v>0.34799999999999998</v>
      </c>
      <c r="E3">
        <v>0.36499999999999999</v>
      </c>
      <c r="F3">
        <v>51.2</v>
      </c>
    </row>
    <row r="4" spans="1:6" x14ac:dyDescent="0.35">
      <c r="A4" s="1" t="s">
        <v>65</v>
      </c>
      <c r="B4" s="1" t="s">
        <v>28</v>
      </c>
      <c r="C4">
        <v>0.61099999999999999</v>
      </c>
      <c r="D4">
        <v>0.27200000000000002</v>
      </c>
      <c r="E4">
        <v>0.33900000000000002</v>
      </c>
      <c r="F4">
        <v>55.5</v>
      </c>
    </row>
    <row r="5" spans="1:6" x14ac:dyDescent="0.35">
      <c r="A5" s="1" t="s">
        <v>66</v>
      </c>
      <c r="B5" s="1" t="s">
        <v>34</v>
      </c>
      <c r="C5">
        <v>0.51200000000000001</v>
      </c>
      <c r="D5">
        <v>0.187</v>
      </c>
      <c r="E5">
        <v>0.32500000000000001</v>
      </c>
      <c r="F5">
        <v>63.5</v>
      </c>
    </row>
    <row r="6" spans="1:6" x14ac:dyDescent="0.35">
      <c r="A6" s="1" t="s">
        <v>48</v>
      </c>
      <c r="B6" s="1" t="s">
        <v>8</v>
      </c>
      <c r="C6">
        <v>0.74099999999999999</v>
      </c>
      <c r="D6">
        <v>0.42499999999999999</v>
      </c>
      <c r="E6">
        <v>0.316</v>
      </c>
      <c r="F6">
        <v>42.6</v>
      </c>
    </row>
    <row r="7" spans="1:6" x14ac:dyDescent="0.35">
      <c r="A7" s="1" t="s">
        <v>42</v>
      </c>
      <c r="B7" s="1" t="s">
        <v>8</v>
      </c>
      <c r="C7">
        <v>0.55800000000000005</v>
      </c>
      <c r="D7">
        <v>0.25900000000000001</v>
      </c>
      <c r="E7">
        <v>0.29899999999999999</v>
      </c>
      <c r="F7">
        <v>53.6</v>
      </c>
    </row>
    <row r="8" spans="1:6" x14ac:dyDescent="0.35">
      <c r="A8" s="1" t="s">
        <v>67</v>
      </c>
      <c r="B8" s="1" t="s">
        <v>20</v>
      </c>
      <c r="C8">
        <v>0.42499999999999999</v>
      </c>
      <c r="D8">
        <v>0.13400000000000001</v>
      </c>
      <c r="E8">
        <v>0.29099999999999998</v>
      </c>
      <c r="F8">
        <v>68.5</v>
      </c>
    </row>
    <row r="9" spans="1:6" x14ac:dyDescent="0.35">
      <c r="A9" s="1" t="s">
        <v>68</v>
      </c>
      <c r="B9" s="1" t="s">
        <v>20</v>
      </c>
      <c r="C9">
        <v>0.39100000000000001</v>
      </c>
      <c r="D9">
        <v>0.1</v>
      </c>
      <c r="E9">
        <v>0.29099999999999998</v>
      </c>
      <c r="F9">
        <v>74.400000000000006</v>
      </c>
    </row>
    <row r="10" spans="1:6" x14ac:dyDescent="0.35">
      <c r="A10" s="1" t="s">
        <v>69</v>
      </c>
      <c r="B10" s="1" t="s">
        <v>28</v>
      </c>
      <c r="C10">
        <v>0.59099999999999997</v>
      </c>
      <c r="D10">
        <v>0.30499999999999999</v>
      </c>
      <c r="E10">
        <v>0.28599999999999998</v>
      </c>
      <c r="F10">
        <v>48.4</v>
      </c>
    </row>
    <row r="11" spans="1:6" x14ac:dyDescent="0.35">
      <c r="A11" s="1" t="s">
        <v>70</v>
      </c>
      <c r="B11" s="1" t="s">
        <v>28</v>
      </c>
      <c r="C11">
        <v>0.81100000000000005</v>
      </c>
      <c r="D11">
        <v>0.53400000000000003</v>
      </c>
      <c r="E11">
        <v>0.27700000000000002</v>
      </c>
      <c r="F11">
        <v>34.200000000000003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D42E0-5C08-4031-A194-1B62D7FB801E}">
  <dimension ref="A1:K4"/>
  <sheetViews>
    <sheetView workbookViewId="0">
      <selection activeCell="G10" sqref="G10"/>
    </sheetView>
  </sheetViews>
  <sheetFormatPr defaultRowHeight="14.5" x14ac:dyDescent="0.35"/>
  <cols>
    <col min="1" max="1" width="15.7265625" bestFit="1" customWidth="1"/>
    <col min="2" max="2" width="16.7265625" bestFit="1" customWidth="1"/>
    <col min="3" max="3" width="9.54296875" bestFit="1" customWidth="1"/>
    <col min="4" max="4" width="10.453125" bestFit="1" customWidth="1"/>
    <col min="5" max="5" width="24.26953125" bestFit="1" customWidth="1"/>
    <col min="6" max="6" width="28.453125" bestFit="1" customWidth="1"/>
    <col min="7" max="7" width="25" bestFit="1" customWidth="1"/>
    <col min="10" max="11" width="15.81640625" customWidth="1"/>
  </cols>
  <sheetData>
    <row r="1" spans="1:11" x14ac:dyDescent="0.35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J1" t="s">
        <v>82</v>
      </c>
      <c r="K1" t="s">
        <v>83</v>
      </c>
    </row>
    <row r="2" spans="1:11" x14ac:dyDescent="0.35">
      <c r="A2">
        <v>128</v>
      </c>
      <c r="B2">
        <v>0.32200000000000001</v>
      </c>
      <c r="C2">
        <v>1.2999999999999999E-2</v>
      </c>
      <c r="D2">
        <v>0.72499999999999998</v>
      </c>
      <c r="E2">
        <v>57</v>
      </c>
      <c r="F2">
        <v>42</v>
      </c>
      <c r="G2">
        <v>29</v>
      </c>
      <c r="J2" t="s">
        <v>43</v>
      </c>
      <c r="K2" s="3">
        <v>57</v>
      </c>
    </row>
    <row r="3" spans="1:11" x14ac:dyDescent="0.35">
      <c r="J3" t="s">
        <v>45</v>
      </c>
      <c r="K3" s="3">
        <v>42</v>
      </c>
    </row>
    <row r="4" spans="1:11" x14ac:dyDescent="0.35">
      <c r="J4" t="s">
        <v>55</v>
      </c>
      <c r="K4" s="2">
        <v>29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A00224-DD74-47BB-9A5C-1328FC9CCC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Top 10 unequal</vt:lpstr>
      <vt:lpstr>Top 10 equal</vt:lpstr>
      <vt:lpstr>Continent Averages </vt:lpstr>
      <vt:lpstr>Global Trend</vt:lpstr>
      <vt:lpstr>Africa Analysis </vt:lpstr>
      <vt:lpstr>Biggest Improvements</vt:lpstr>
      <vt:lpstr>Global 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Zintle Damane</dc:creator>
  <cp:lastModifiedBy>Zintle Damane</cp:lastModifiedBy>
  <dcterms:created xsi:type="dcterms:W3CDTF">2025-11-23T17:41:41Z</dcterms:created>
  <dcterms:modified xsi:type="dcterms:W3CDTF">2025-11-25T18:12:38Z</dcterms:modified>
</cp:coreProperties>
</file>